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huyqpham1\Desktop\demo files\BM\Information documented into excel file\"/>
    </mc:Choice>
  </mc:AlternateContent>
  <xr:revisionPtr revIDLastSave="0" documentId="13_ncr:1_{71A49610-74F0-4C86-95DC-26142F8783AD}" xr6:coauthVersionLast="47" xr6:coauthVersionMax="47" xr10:uidLastSave="{00000000-0000-0000-0000-000000000000}"/>
  <bookViews>
    <workbookView xWindow="-108" yWindow="-108" windowWidth="23256" windowHeight="13896" xr2:uid="{600A5CA0-3C4E-45B6-9C32-9F83F468231A}"/>
  </bookViews>
  <sheets>
    <sheet name="RPTs &amp; Segment check" sheetId="1" r:id="rId1"/>
  </sheets>
  <definedNames>
    <definedName name="AP_Adj" localSheetId="0">#REF!</definedName>
    <definedName name="AP_Adj">#REF!</definedName>
    <definedName name="AP_Adj_Display" localSheetId="0">#REF!</definedName>
    <definedName name="AP_Adj_Display">#REF!</definedName>
    <definedName name="AR_Adj" localSheetId="0">#REF!</definedName>
    <definedName name="AR_Adj">#REF!</definedName>
    <definedName name="AR_Adj_Display" localSheetId="0">#REF!</definedName>
    <definedName name="AR_Adj_Display">#REF!</definedName>
    <definedName name="BR_COPY">#REF!</definedName>
    <definedName name="BR_VN_COPY">#REF!</definedName>
    <definedName name="COMPANY" localSheetId="0">#REF!</definedName>
    <definedName name="COMPANY">#REF!</definedName>
    <definedName name="COPY" localSheetId="0">#REF!</definedName>
    <definedName name="COPY">#REF!</definedName>
    <definedName name="CP_COPY">#REF!</definedName>
    <definedName name="CP_VN_COPY">#REF!</definedName>
    <definedName name="Fiscal" localSheetId="0">#REF!</definedName>
    <definedName name="Fiscal">#REF!</definedName>
    <definedName name="FULLCO">#REF!</definedName>
    <definedName name="GM_COPY">#REF!</definedName>
    <definedName name="GM_VN_COPY">#REF!</definedName>
    <definedName name="hh">#REF!</definedName>
    <definedName name="Inv_Adj" localSheetId="0">#REF!</definedName>
    <definedName name="Inv_Adj">#REF!</definedName>
    <definedName name="Inv_Adj_Display" localSheetId="0">#REF!</definedName>
    <definedName name="Inv_Adj_Display">#REF!</definedName>
    <definedName name="LIFO_Adj" localSheetId="0">#REF!</definedName>
    <definedName name="LIFO_Adj">#REF!</definedName>
    <definedName name="LIFO_Adj_Display" localSheetId="0">#REF!</definedName>
    <definedName name="LIFO_Adj_Display">#REF!</definedName>
    <definedName name="No_Adj" localSheetId="0">#REF!</definedName>
    <definedName name="No_Adj">#REF!</definedName>
    <definedName name="Only_LIFO" localSheetId="0">#REF!</definedName>
    <definedName name="Only_LIFO">#REF!</definedName>
    <definedName name="RD" localSheetId="0">#REF!</definedName>
    <definedName name="RD">#REF!</definedName>
    <definedName name="ROCE_COPY">#REF!</definedName>
    <definedName name="ROCE_VN_COPY">#REF!</definedName>
    <definedName name="SALE" localSheetId="0">#REF!</definedName>
    <definedName name="SALE">#REF!</definedName>
    <definedName name="SGA" localSheetId="0">#REF!</definedName>
    <definedName name="SGA">#REF!</definedName>
    <definedName name="ValidDep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F16" i="1"/>
  <c r="B69" i="1"/>
  <c r="C69" i="1" s="1"/>
  <c r="C67" i="1"/>
  <c r="B64" i="1"/>
  <c r="C64" i="1" s="1"/>
  <c r="C63" i="1"/>
  <c r="C62" i="1"/>
  <c r="B59" i="1"/>
  <c r="C59" i="1" s="1"/>
  <c r="C58" i="1"/>
  <c r="C57" i="1"/>
  <c r="B54" i="1"/>
  <c r="C54" i="1" s="1"/>
  <c r="C53" i="1"/>
  <c r="C52" i="1"/>
  <c r="B49" i="1"/>
  <c r="C49" i="1" s="1"/>
  <c r="C47" i="1"/>
  <c r="B43" i="1"/>
  <c r="C42" i="1" s="1"/>
  <c r="B37" i="1"/>
  <c r="C36" i="1" s="1"/>
  <c r="C34" i="1"/>
  <c r="B31" i="1"/>
  <c r="C30" i="1" s="1"/>
  <c r="C29" i="1"/>
  <c r="D20" i="1"/>
  <c r="F20" i="1" s="1"/>
  <c r="C20" i="1"/>
  <c r="B20" i="1"/>
  <c r="G19" i="1"/>
  <c r="E19" i="1"/>
  <c r="D19" i="1"/>
  <c r="C19" i="1"/>
  <c r="B19" i="1"/>
  <c r="F19" i="1" s="1"/>
  <c r="E18" i="1"/>
  <c r="D18" i="1"/>
  <c r="C18" i="1"/>
  <c r="B18" i="1"/>
  <c r="G17" i="1"/>
  <c r="E17" i="1"/>
  <c r="D17" i="1"/>
  <c r="F17" i="1" s="1"/>
  <c r="C17" i="1"/>
  <c r="B17" i="1"/>
  <c r="E16" i="1"/>
  <c r="C16" i="1"/>
  <c r="B16" i="1"/>
  <c r="E15" i="1"/>
  <c r="D15" i="1"/>
  <c r="C15" i="1"/>
  <c r="B15" i="1"/>
  <c r="G14" i="1"/>
  <c r="E14" i="1"/>
  <c r="D14" i="1"/>
  <c r="C14" i="1"/>
  <c r="B14" i="1"/>
  <c r="F14" i="1" s="1"/>
  <c r="E13" i="1"/>
  <c r="D13" i="1"/>
  <c r="C13" i="1"/>
  <c r="B13" i="1"/>
  <c r="F12" i="1"/>
  <c r="E12" i="1"/>
  <c r="G12" i="1" s="1"/>
  <c r="D12" i="1"/>
  <c r="C12" i="1"/>
  <c r="B12" i="1"/>
  <c r="E11" i="1"/>
  <c r="G11" i="1" s="1"/>
  <c r="D11" i="1"/>
  <c r="C11" i="1"/>
  <c r="B11" i="1"/>
  <c r="F11" i="1" s="1"/>
  <c r="E10" i="1"/>
  <c r="D10" i="1"/>
  <c r="C10" i="1"/>
  <c r="B10" i="1"/>
  <c r="G9" i="1"/>
  <c r="E9" i="1"/>
  <c r="D9" i="1"/>
  <c r="C9" i="1"/>
  <c r="B9" i="1"/>
  <c r="F9" i="1" s="1"/>
  <c r="E8" i="1"/>
  <c r="D8" i="1"/>
  <c r="C8" i="1"/>
  <c r="B8" i="1"/>
  <c r="E7" i="1"/>
  <c r="G7" i="1" s="1"/>
  <c r="D7" i="1"/>
  <c r="C7" i="1"/>
  <c r="B7" i="1"/>
  <c r="C6" i="1"/>
  <c r="G6" i="1" s="1"/>
  <c r="B6" i="1"/>
  <c r="F6" i="1" s="1"/>
  <c r="E5" i="1"/>
  <c r="D5" i="1"/>
  <c r="C5" i="1"/>
  <c r="G5" i="1" s="1"/>
  <c r="B5" i="1"/>
  <c r="E4" i="1"/>
  <c r="D4" i="1"/>
  <c r="F4" i="1" s="1"/>
  <c r="C4" i="1"/>
  <c r="B4" i="1"/>
  <c r="E3" i="1"/>
  <c r="D3" i="1"/>
  <c r="F3" i="1" s="1"/>
  <c r="C3" i="1"/>
  <c r="G3" i="1" s="1"/>
  <c r="B3" i="1"/>
  <c r="G15" i="1" l="1"/>
  <c r="F5" i="1"/>
  <c r="F8" i="1"/>
  <c r="F13" i="1"/>
  <c r="G8" i="1"/>
  <c r="G13" i="1"/>
  <c r="G16" i="1"/>
  <c r="C37" i="1"/>
  <c r="G4" i="1"/>
  <c r="F10" i="1"/>
  <c r="G10" i="1"/>
  <c r="C46" i="1"/>
  <c r="F18" i="1"/>
  <c r="F7" i="1"/>
  <c r="C48" i="1"/>
  <c r="C68" i="1"/>
  <c r="F15" i="1"/>
  <c r="C31" i="1"/>
  <c r="G18" i="1"/>
  <c r="C35" i="1"/>
  <c r="C40" i="1"/>
  <c r="C43" i="1"/>
  <c r="C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KPMG_PQH</author>
  </authors>
  <commentList>
    <comment ref="I3" authorId="0" shapeId="0" xr:uid="{0692B665-60FC-43B6-B0E4-77E69195BAE7}">
      <text>
        <r>
          <rPr>
            <b/>
            <sz val="9"/>
            <color indexed="81"/>
            <rFont val="Tahoma"/>
            <family val="2"/>
          </rPr>
          <t>KPMG_PQH:</t>
        </r>
        <r>
          <rPr>
            <sz val="9"/>
            <color indexed="81"/>
            <rFont val="Tahoma"/>
            <family val="2"/>
          </rPr>
          <t xml:space="preserve">
Note down the exact page number for review/ validation</t>
        </r>
      </text>
    </comment>
    <comment ref="B27" authorId="0" shapeId="0" xr:uid="{87113A8C-5C38-41AA-8072-A6264F17652D}">
      <text>
        <r>
          <rPr>
            <b/>
            <sz val="9"/>
            <color indexed="81"/>
            <rFont val="Tahoma"/>
            <family val="2"/>
          </rPr>
          <t>KPMG_PQH:</t>
        </r>
        <r>
          <rPr>
            <sz val="9"/>
            <color indexed="81"/>
            <rFont val="Tahoma"/>
            <family val="2"/>
          </rPr>
          <t xml:space="preserve">
Note down the exact page number for review/ validation</t>
        </r>
      </text>
    </comment>
    <comment ref="C30" authorId="0" shapeId="0" xr:uid="{499E1775-0ECA-4C0B-BB39-A85ED47414A2}">
      <text>
        <r>
          <rPr>
            <b/>
            <sz val="9"/>
            <color indexed="81"/>
            <rFont val="Tahoma"/>
            <family val="2"/>
          </rPr>
          <t>KPMG_PQH:</t>
        </r>
        <r>
          <rPr>
            <sz val="9"/>
            <color indexed="81"/>
            <rFont val="Tahoma"/>
            <family val="2"/>
          </rPr>
          <t xml:space="preserve">
Per example, this Company has 30% revenue from air transportation, might not be comparable to client who is 100% manufacturer</t>
        </r>
      </text>
    </comment>
  </commentList>
</comments>
</file>

<file path=xl/sharedStrings.xml><?xml version="1.0" encoding="utf-8"?>
<sst xmlns="http://schemas.openxmlformats.org/spreadsheetml/2006/main" count="134" uniqueCount="96">
  <si>
    <t>Check RPTs</t>
  </si>
  <si>
    <t>=&gt; Detecting high RPTs companies =&gt; Not selected due to independence</t>
  </si>
  <si>
    <t>Company</t>
  </si>
  <si>
    <t>Total income</t>
  </si>
  <si>
    <t>Total expense</t>
  </si>
  <si>
    <t>RPTs (Sales)</t>
  </si>
  <si>
    <t>RPTs (Purchase)</t>
  </si>
  <si>
    <t>% Sales</t>
  </si>
  <si>
    <t>%Purchase</t>
  </si>
  <si>
    <t>PnL</t>
  </si>
  <si>
    <t>RPTs</t>
  </si>
  <si>
    <t>DK TECH CO., LTD.</t>
  </si>
  <si>
    <t>p124/244</t>
  </si>
  <si>
    <t>p112/244</t>
  </si>
  <si>
    <t>BIOSMART CO.,LTD.</t>
  </si>
  <si>
    <t>pt. 40</t>
  </si>
  <si>
    <t>pt. 125</t>
  </si>
  <si>
    <t>BH CO.,LTD.</t>
  </si>
  <si>
    <t>p37-38/316</t>
  </si>
  <si>
    <t>p120-121/316</t>
  </si>
  <si>
    <t>DAEDUCK ELECTRONICS CO.,LTD.</t>
  </si>
  <si>
    <t>p35/238</t>
  </si>
  <si>
    <t>p95/238</t>
  </si>
  <si>
    <t>DAP CO.,LTD.</t>
  </si>
  <si>
    <t>p41/228</t>
  </si>
  <si>
    <t>p106/228</t>
  </si>
  <si>
    <t>HANNSTAR BOARD CORP.</t>
  </si>
  <si>
    <t>p8/94</t>
  </si>
  <si>
    <t>p60/94</t>
  </si>
  <si>
    <t>INTERFLEX CO.,LTD.</t>
  </si>
  <si>
    <t>p43/264</t>
  </si>
  <si>
    <t>p106/264</t>
  </si>
  <si>
    <t>KAYNES TECHNOLOGY INDIA LIMITED</t>
  </si>
  <si>
    <t>p15/72</t>
  </si>
  <si>
    <t>p49/72</t>
  </si>
  <si>
    <t>KOREA CIRCUIT CO.,LTD.</t>
  </si>
  <si>
    <t>p43/259</t>
  </si>
  <si>
    <t>p110/259</t>
  </si>
  <si>
    <t>KOREA COMPUTER INC.</t>
  </si>
  <si>
    <t>p36/170</t>
  </si>
  <si>
    <t>p83-84/170</t>
  </si>
  <si>
    <t>KYOSHA CO., LTD.</t>
  </si>
  <si>
    <t>pt. 43/94</t>
  </si>
  <si>
    <t>pt. 69/94</t>
  </si>
  <si>
    <t>MEIKO ELECTRONICS CO., LTD.</t>
  </si>
  <si>
    <t>p51/111</t>
  </si>
  <si>
    <t>p81/111</t>
  </si>
  <si>
    <t>PARTRON CO.,LTD.</t>
  </si>
  <si>
    <t>p34/246</t>
  </si>
  <si>
    <t>p108-109/246</t>
  </si>
  <si>
    <t>SIGNETICS CORPORATION</t>
  </si>
  <si>
    <t>p35-36/183</t>
  </si>
  <si>
    <t>p81-82/183</t>
  </si>
  <si>
    <t>SIMMTECH CO.,LTD.</t>
  </si>
  <si>
    <t>p46/259</t>
  </si>
  <si>
    <t>p245/259</t>
  </si>
  <si>
    <t>SYNOPEX INC.</t>
  </si>
  <si>
    <t>p42/261</t>
  </si>
  <si>
    <t>p116/261</t>
  </si>
  <si>
    <t>TLB CO.,LTD.</t>
  </si>
  <si>
    <t>p34/200</t>
  </si>
  <si>
    <t>p90/200</t>
  </si>
  <si>
    <t>TRIPOD TECHNOLOGY CORPORATION</t>
  </si>
  <si>
    <t>p8/79</t>
  </si>
  <si>
    <t>p57/79</t>
  </si>
  <si>
    <t>Check Segment</t>
  </si>
  <si>
    <t>=&gt; Detecting companies that have different functions compared to client =&gt; Not selected</t>
  </si>
  <si>
    <t>(AR2024, p93/228)</t>
  </si>
  <si>
    <t>Segment</t>
  </si>
  <si>
    <t>Revenue (KRW'000)</t>
  </si>
  <si>
    <t>%</t>
  </si>
  <si>
    <t>Manufacturing</t>
  </si>
  <si>
    <t>Air transport</t>
  </si>
  <si>
    <t>Total</t>
  </si>
  <si>
    <t>(AR2024, p66/95)</t>
  </si>
  <si>
    <t>Revenue (TWD'000)</t>
  </si>
  <si>
    <t>PCB</t>
  </si>
  <si>
    <t>EMS</t>
  </si>
  <si>
    <t>Other</t>
  </si>
  <si>
    <t>(AR2024, p73/259)</t>
  </si>
  <si>
    <t>Rental management</t>
  </si>
  <si>
    <t>(AR2024, p59/170)</t>
  </si>
  <si>
    <t>EMS - Domestic</t>
  </si>
  <si>
    <t>EMS - Vietnam</t>
  </si>
  <si>
    <t>Real estate rental</t>
  </si>
  <si>
    <t>(AR2024, p17/111)</t>
  </si>
  <si>
    <t>Revenue (JPY'000,000)</t>
  </si>
  <si>
    <t>Electronics</t>
  </si>
  <si>
    <t>(AR2024, p114/261)</t>
  </si>
  <si>
    <t>FPCB</t>
  </si>
  <si>
    <t>Filter Business Division</t>
  </si>
  <si>
    <t>TAIWAN PRINTED CIRCUIT BOARD TECHVEST CO.,LTD</t>
  </si>
  <si>
    <t>(FS2024, p52/80)</t>
  </si>
  <si>
    <t>Processing fees revenue and others</t>
  </si>
  <si>
    <t>(FS2024, p62/79)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</si>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</sst>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12">
    <font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1"/>
      <name val="ＭＳ Ｐゴシック"/>
      <family val="2"/>
      <charset val="128"/>
    </font>
    <font>
      <b/>
      <sz val="9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0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 vertical="center"/>
    </xf>
    <xf numFmtId="38" fontId="0" fillId="0" borderId="0" xfId="1" applyNumberFormat="1" applyFont="1"/>
    <xf numFmtId="10" fontId="0" fillId="0" borderId="0" xfId="2" applyNumberFormat="1" applyFont="1" applyAlignment="1">
      <alignment horizontal="right"/>
    </xf>
    <xf numFmtId="3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left"/>
    </xf>
    <xf numFmtId="10" fontId="0" fillId="0" borderId="0" xfId="2" applyNumberFormat="1" applyFont="1" applyFill="1" applyBorder="1" applyAlignment="1">
      <alignment horizontal="right" vertical="center"/>
    </xf>
    <xf numFmtId="164" fontId="0" fillId="0" borderId="0" xfId="2" applyNumberFormat="1" applyFont="1"/>
    <xf numFmtId="165" fontId="1" fillId="0" borderId="0" xfId="2" applyNumberFormat="1" applyFont="1" applyFill="1"/>
    <xf numFmtId="10" fontId="1" fillId="0" borderId="0" xfId="2" applyNumberFormat="1" applyFont="1" applyFill="1"/>
    <xf numFmtId="164" fontId="1" fillId="0" borderId="0" xfId="2" applyNumberFormat="1" applyFont="1" applyFill="1"/>
    <xf numFmtId="0" fontId="5" fillId="3" borderId="0" xfId="0" applyFont="1" applyFill="1"/>
    <xf numFmtId="0" fontId="6" fillId="4" borderId="1" xfId="0" applyFont="1" applyFill="1" applyBorder="1" applyAlignment="1">
      <alignment horizontal="left" vertical="center"/>
    </xf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8" fontId="7" fillId="0" borderId="1" xfId="1" applyNumberFormat="1" applyFont="1" applyBorder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38" fontId="7" fillId="0" borderId="3" xfId="1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/>
    <xf numFmtId="0" fontId="9" fillId="0" borderId="0" xfId="0" applyFont="1"/>
    <xf numFmtId="10" fontId="1" fillId="5" borderId="0" xfId="2" applyNumberFormat="1" applyFont="1" applyFill="1"/>
    <xf numFmtId="10" fontId="9" fillId="5" borderId="0" xfId="2" applyNumberFormat="1" applyFont="1" applyFill="1" applyBorder="1" applyAlignment="1">
      <alignment horizontal="center" vertical="center"/>
    </xf>
    <xf numFmtId="0" fontId="3" fillId="0" borderId="0" xfId="0" quotePrefix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1000">
            <a:latin typeface="Arial" panose="020B0604020202020204" pitchFamily="34" charset="0"/>
            <a:cs typeface="Arial" panose="020B0604020202020204" pitchFamily="34" charset="0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0975-920D-4DDD-A9DC-BC15B5236E4C}">
  <sheetPr>
    <tabColor rgb="FF92D050"/>
  </sheetPr>
  <dimension ref="A1:I69"/>
  <sheetViews>
    <sheetView tabSelected="1" topLeftCell="A24" zoomScale="108" zoomScaleNormal="100" workbookViewId="0">
      <selection activeCell="G20" sqref="G20"/>
    </sheetView>
  </sheetViews>
  <sheetFormatPr defaultRowHeight="13.9"/>
  <cols>
    <col min="1" max="1" width="36.25" bestFit="1" customWidth="1"/>
    <col min="2" max="3" width="16.75" bestFit="1" customWidth="1"/>
    <col min="4" max="4" width="15.125" bestFit="1" customWidth="1"/>
    <col min="5" max="5" width="15.75" bestFit="1" customWidth="1"/>
    <col min="6" max="6" width="8.25" bestFit="1" customWidth="1"/>
    <col min="7" max="7" width="10.75" bestFit="1" customWidth="1"/>
    <col min="8" max="8" width="10.25" bestFit="1" customWidth="1"/>
    <col min="9" max="9" width="12.375" bestFit="1" customWidth="1"/>
  </cols>
  <sheetData>
    <row r="1" spans="1:9">
      <c r="A1" s="13" t="s">
        <v>0</v>
      </c>
      <c r="B1" s="27" t="s">
        <v>1</v>
      </c>
    </row>
    <row r="2" spans="1: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>
      <c r="A3" s="22" t="s">
        <v>11</v>
      </c>
      <c r="B3" s="23">
        <f>403349872283+8383343417+653683672</f>
        <v>412386899372</v>
      </c>
      <c r="C3" s="23">
        <f>366112829944+14151338013+7652581456+621367293</f>
        <v>388538116706</v>
      </c>
      <c r="D3" s="23">
        <f>(133779821+1799094)*1000</f>
        <v>135578915000</v>
      </c>
      <c r="E3" s="23">
        <f>(103970785+3417745)*1000</f>
        <v>107388530000</v>
      </c>
      <c r="F3" s="26">
        <f t="shared" ref="F3:G16" si="0">D3/B3</f>
        <v>0.32876629981812039</v>
      </c>
      <c r="G3" s="26">
        <f t="shared" si="0"/>
        <v>0.27639123520346659</v>
      </c>
      <c r="H3" s="24" t="s">
        <v>12</v>
      </c>
      <c r="I3" s="24" t="s">
        <v>13</v>
      </c>
    </row>
    <row r="4" spans="1:9">
      <c r="A4" s="2" t="s">
        <v>14</v>
      </c>
      <c r="B4" s="3">
        <f>484309653002+1775731190+6285129381</f>
        <v>492370513573</v>
      </c>
      <c r="C4" s="3">
        <f>402047238419+62244910847+6823224940+17231491636</f>
        <v>488346865842</v>
      </c>
      <c r="D4" s="3">
        <f>1036556960+37510630</f>
        <v>1074067590</v>
      </c>
      <c r="E4" s="3">
        <f>23992393551+2100954071</f>
        <v>26093347622</v>
      </c>
      <c r="F4" s="4">
        <f t="shared" si="0"/>
        <v>2.1814214303894465E-3</v>
      </c>
      <c r="G4" s="4">
        <f t="shared" si="0"/>
        <v>5.3431995671785998E-2</v>
      </c>
      <c r="H4" t="s">
        <v>15</v>
      </c>
      <c r="I4" t="s">
        <v>16</v>
      </c>
    </row>
    <row r="5" spans="1:9">
      <c r="A5" s="2" t="s">
        <v>17</v>
      </c>
      <c r="B5" s="5">
        <f>1754441744291+7746923231+63093444760</f>
        <v>1825282112282</v>
      </c>
      <c r="C5" s="5">
        <f>1588134201553+79254119756+22678517987+32478864920</f>
        <v>1722545704216</v>
      </c>
      <c r="D5" s="5">
        <f>(27534612+504636)*1000</f>
        <v>28039248000</v>
      </c>
      <c r="E5" s="5">
        <f>(43090375+100803498)*1000</f>
        <v>143893873000</v>
      </c>
      <c r="F5" s="4">
        <f t="shared" si="0"/>
        <v>1.5361596879369423E-2</v>
      </c>
      <c r="G5" s="4">
        <f t="shared" si="0"/>
        <v>8.3535590752578548E-2</v>
      </c>
      <c r="H5" t="s">
        <v>18</v>
      </c>
      <c r="I5" t="s">
        <v>19</v>
      </c>
    </row>
    <row r="6" spans="1:9">
      <c r="A6" s="7" t="s">
        <v>20</v>
      </c>
      <c r="B6" s="5">
        <f>892135903752+1910332427+31627184074</f>
        <v>925673420253</v>
      </c>
      <c r="C6" s="5">
        <f>830588902919+50287511772+141696236+14464492670</f>
        <v>895482603597</v>
      </c>
      <c r="D6" s="5">
        <v>232207735</v>
      </c>
      <c r="E6" s="5">
        <v>5408801247</v>
      </c>
      <c r="F6" s="4">
        <f t="shared" si="0"/>
        <v>2.508527628853535E-4</v>
      </c>
      <c r="G6" s="4">
        <f t="shared" si="0"/>
        <v>6.0400963963719379E-3</v>
      </c>
      <c r="H6" t="s">
        <v>21</v>
      </c>
      <c r="I6" t="s">
        <v>22</v>
      </c>
    </row>
    <row r="7" spans="1:9">
      <c r="A7" s="7" t="s">
        <v>23</v>
      </c>
      <c r="B7" s="5">
        <f>488847196080+2750810514+11561735454</f>
        <v>503159742048</v>
      </c>
      <c r="C7" s="5">
        <f>493374291127+25870047754+340534189+26302439921</f>
        <v>545887312991</v>
      </c>
      <c r="D7" s="5">
        <f>(318834+59543)*1000</f>
        <v>378377000</v>
      </c>
      <c r="E7" s="5">
        <f>333854*1000</f>
        <v>333854000</v>
      </c>
      <c r="F7" s="4">
        <f t="shared" si="0"/>
        <v>7.5200173698297169E-4</v>
      </c>
      <c r="G7" s="4">
        <f t="shared" si="0"/>
        <v>6.1158043437712977E-4</v>
      </c>
      <c r="H7" t="s">
        <v>24</v>
      </c>
      <c r="I7" t="s">
        <v>25</v>
      </c>
    </row>
    <row r="8" spans="1:9">
      <c r="A8" s="7" t="s">
        <v>26</v>
      </c>
      <c r="B8" s="5">
        <f>(41632032+1535231+385315)*1000</f>
        <v>43552578000</v>
      </c>
      <c r="C8" s="5">
        <f>(31453874+991047+2705382+485384)*1000</f>
        <v>35635687000</v>
      </c>
      <c r="D8" s="5">
        <f>(83036+19712)*1000</f>
        <v>102748000</v>
      </c>
      <c r="E8" s="5">
        <f>(32188+59599)*1000</f>
        <v>91787000</v>
      </c>
      <c r="F8" s="4">
        <f t="shared" si="0"/>
        <v>2.3591714823402647E-3</v>
      </c>
      <c r="G8" s="4">
        <f t="shared" si="0"/>
        <v>2.5757045177773616E-3</v>
      </c>
      <c r="H8" t="s">
        <v>27</v>
      </c>
      <c r="I8" t="s">
        <v>28</v>
      </c>
    </row>
    <row r="9" spans="1:9">
      <c r="A9" s="2" t="s">
        <v>29</v>
      </c>
      <c r="B9" s="5">
        <f>497466413203+3243506852+26857636687</f>
        <v>527567556742</v>
      </c>
      <c r="C9" s="5">
        <f>448727168270+14368256264+22772023+10751861807</f>
        <v>473870058364</v>
      </c>
      <c r="D9" s="5">
        <f>(3705741+335127+291757)*1000</f>
        <v>4332625000</v>
      </c>
      <c r="E9" s="5">
        <f>(1020262+474135+1017786)*1000</f>
        <v>2512183000</v>
      </c>
      <c r="F9" s="8">
        <f t="shared" si="0"/>
        <v>8.2124553426980596E-3</v>
      </c>
      <c r="G9" s="8">
        <f t="shared" si="0"/>
        <v>5.301417457505374E-3</v>
      </c>
      <c r="H9" t="s">
        <v>30</v>
      </c>
      <c r="I9" t="s">
        <v>31</v>
      </c>
    </row>
    <row r="10" spans="1:9">
      <c r="A10" s="7" t="s">
        <v>32</v>
      </c>
      <c r="B10" s="5">
        <f>(27217.52+1069.63)*1000000</f>
        <v>28287150000</v>
      </c>
      <c r="C10" s="5">
        <f>(19116.26+1780.67+1012.98+447.4+2332.76)*1000000</f>
        <v>24690070000</v>
      </c>
      <c r="D10" s="5">
        <f>(34.72+24.29)*1000000</f>
        <v>59010000</v>
      </c>
      <c r="E10" s="5">
        <f>4.36*1000000</f>
        <v>4360000</v>
      </c>
      <c r="F10" s="4">
        <f t="shared" si="0"/>
        <v>2.0861062355168338E-3</v>
      </c>
      <c r="G10" s="4">
        <f t="shared" si="0"/>
        <v>1.7658921177623232E-4</v>
      </c>
      <c r="H10" t="s">
        <v>33</v>
      </c>
      <c r="I10" t="s">
        <v>34</v>
      </c>
    </row>
    <row r="11" spans="1:9">
      <c r="A11" s="7" t="s">
        <v>35</v>
      </c>
      <c r="B11" s="5">
        <f>1406956573662+68283220769+11023286766</f>
        <v>1486263081197</v>
      </c>
      <c r="C11" s="5">
        <f>1388940027977+51170163581+181306487918+20334325135</f>
        <v>1641751004611</v>
      </c>
      <c r="D11" s="5">
        <f>732679942+5127983396</f>
        <v>5860663338</v>
      </c>
      <c r="E11" s="5">
        <f>696488425+1494396126+4115485931</f>
        <v>6306370482</v>
      </c>
      <c r="F11" s="4">
        <f t="shared" si="0"/>
        <v>3.9432206936607511E-3</v>
      </c>
      <c r="G11" s="4">
        <f t="shared" si="0"/>
        <v>3.8412466106541197E-3</v>
      </c>
      <c r="H11" t="s">
        <v>36</v>
      </c>
      <c r="I11" t="s">
        <v>37</v>
      </c>
    </row>
    <row r="12" spans="1:9">
      <c r="A12" t="s">
        <v>38</v>
      </c>
      <c r="B12" s="5">
        <f>421024908274+8914124492+1197268640</f>
        <v>431136301406</v>
      </c>
      <c r="C12" s="5">
        <f>399386042024+9480772263+5172352454+60667429</f>
        <v>414099834170</v>
      </c>
      <c r="D12" s="5">
        <f>4871*1000</f>
        <v>4871000</v>
      </c>
      <c r="E12" s="5">
        <f>22723*1000</f>
        <v>22723000</v>
      </c>
      <c r="F12" s="9">
        <f t="shared" si="0"/>
        <v>1.1298051182688492E-5</v>
      </c>
      <c r="G12" s="6">
        <f t="shared" si="0"/>
        <v>5.4873241003693688E-5</v>
      </c>
      <c r="H12" t="s">
        <v>39</v>
      </c>
      <c r="I12" t="s">
        <v>40</v>
      </c>
    </row>
    <row r="13" spans="1:9">
      <c r="A13" s="7" t="s">
        <v>41</v>
      </c>
      <c r="B13" s="3">
        <f>(26229+13)*1000000</f>
        <v>26242000000</v>
      </c>
      <c r="C13" s="3">
        <f>(21566+3385+361)*1000000</f>
        <v>25312000000</v>
      </c>
      <c r="D13" s="3">
        <f>664*1000000</f>
        <v>664000000</v>
      </c>
      <c r="E13" s="3">
        <f>88*1000000</f>
        <v>88000000</v>
      </c>
      <c r="F13" s="4">
        <f t="shared" si="0"/>
        <v>2.5302949470314761E-2</v>
      </c>
      <c r="G13" s="4">
        <f t="shared" si="0"/>
        <v>3.4766118836915298E-3</v>
      </c>
      <c r="H13" t="s">
        <v>42</v>
      </c>
      <c r="I13" t="s">
        <v>43</v>
      </c>
    </row>
    <row r="14" spans="1:9">
      <c r="A14" s="7" t="s">
        <v>44</v>
      </c>
      <c r="B14" s="3">
        <f>(206806+811)*1000000</f>
        <v>207617000000</v>
      </c>
      <c r="C14" s="3">
        <f>(167030+20692+1326)*1000000</f>
        <v>189048000000</v>
      </c>
      <c r="D14" s="3">
        <f>19*1000000</f>
        <v>19000000</v>
      </c>
      <c r="E14" s="3">
        <f>203*1000000</f>
        <v>203000000</v>
      </c>
      <c r="F14" s="4">
        <f t="shared" si="0"/>
        <v>9.1514664020769012E-5</v>
      </c>
      <c r="G14" s="4">
        <f t="shared" si="0"/>
        <v>1.0738013626169014E-3</v>
      </c>
      <c r="H14" t="s">
        <v>45</v>
      </c>
      <c r="I14" t="s">
        <v>46</v>
      </c>
    </row>
    <row r="15" spans="1:9">
      <c r="A15" s="7" t="s">
        <v>47</v>
      </c>
      <c r="B15" s="5">
        <f>1486422074868+50917162634+2455563373</f>
        <v>1539794800875</v>
      </c>
      <c r="C15" s="5">
        <f>1319224228703+105490438430+39749791707+2087678428</f>
        <v>1466552137268</v>
      </c>
      <c r="D15" s="5">
        <f>(0+3656)*1000</f>
        <v>3656000</v>
      </c>
      <c r="E15" s="5">
        <f>(0+1573662+27927)*1000</f>
        <v>1601589000</v>
      </c>
      <c r="F15" s="10">
        <f t="shared" si="0"/>
        <v>2.3743423460856282E-6</v>
      </c>
      <c r="G15" s="11">
        <f t="shared" si="0"/>
        <v>1.0920777784167678E-3</v>
      </c>
      <c r="H15" t="s">
        <v>48</v>
      </c>
      <c r="I15" t="s">
        <v>49</v>
      </c>
    </row>
    <row r="16" spans="1:9">
      <c r="A16" t="s">
        <v>50</v>
      </c>
      <c r="B16" s="5">
        <f>118150985037+688055485+2310239814</f>
        <v>121149280336</v>
      </c>
      <c r="C16" s="5">
        <f>136793712728+7191061843+21798726145+2140973797</f>
        <v>167924474513</v>
      </c>
      <c r="D16">
        <v>0</v>
      </c>
      <c r="E16" s="5">
        <f>(9752284+135531+2855)*1000</f>
        <v>9890670000</v>
      </c>
      <c r="F16" s="10">
        <f t="shared" si="0"/>
        <v>0</v>
      </c>
      <c r="G16" s="11">
        <f>E16/C16</f>
        <v>5.8899514372065559E-2</v>
      </c>
      <c r="H16" t="s">
        <v>51</v>
      </c>
      <c r="I16" t="s">
        <v>52</v>
      </c>
    </row>
    <row r="17" spans="1:9">
      <c r="A17" t="s">
        <v>53</v>
      </c>
      <c r="B17" s="5">
        <f>1231421381070+5745589900+117467200566</f>
        <v>1354634171536</v>
      </c>
      <c r="C17" s="5">
        <f>1179473868869+98916733021+20012030773+81354926517</f>
        <v>1379757559180</v>
      </c>
      <c r="D17" s="5">
        <f>(258731830+222882+25628644+61076263)*1000</f>
        <v>345659619000</v>
      </c>
      <c r="E17" s="5">
        <f>(9756846+101819+38763+63057618+11028811)*1000</f>
        <v>83983857000</v>
      </c>
      <c r="F17" s="25">
        <f>D17/B17</f>
        <v>0.25516824118504378</v>
      </c>
      <c r="G17" s="11">
        <f>E17/C17</f>
        <v>6.0868560886821466E-2</v>
      </c>
      <c r="H17" t="s">
        <v>54</v>
      </c>
      <c r="I17" t="s">
        <v>55</v>
      </c>
    </row>
    <row r="18" spans="1:9">
      <c r="A18" s="7" t="s">
        <v>56</v>
      </c>
      <c r="B18" s="5">
        <f>238339306692+11360376747+1599524473</f>
        <v>251299207912</v>
      </c>
      <c r="C18" s="5">
        <f>176444994876+4273187714+36391721344+3991647774+1624435724</f>
        <v>222725987432</v>
      </c>
      <c r="D18" s="5">
        <f>2962563*1000</f>
        <v>2962563000</v>
      </c>
      <c r="E18" s="5">
        <f>1310663*1000</f>
        <v>1310663000</v>
      </c>
      <c r="F18" s="11">
        <f>D18/B18</f>
        <v>1.1788986621228948E-2</v>
      </c>
      <c r="G18" s="11">
        <f>E18/C18</f>
        <v>5.8846433463457231E-3</v>
      </c>
      <c r="H18" t="s">
        <v>57</v>
      </c>
      <c r="I18" t="s">
        <v>58</v>
      </c>
    </row>
    <row r="19" spans="1:9">
      <c r="A19" s="7" t="s">
        <v>59</v>
      </c>
      <c r="B19" s="5">
        <f>180001314818+716342151+3422051126</f>
        <v>184139708095</v>
      </c>
      <c r="C19" s="5">
        <f>165897279035+10746067793+1801385597+1241075342</f>
        <v>179685807767</v>
      </c>
      <c r="D19" s="5">
        <f>(48378+4253)*1000</f>
        <v>52631000</v>
      </c>
      <c r="E19" s="5">
        <f>2008508*1000</f>
        <v>2008508000</v>
      </c>
      <c r="F19" s="11">
        <f>D19/B19</f>
        <v>2.8582102439766549E-4</v>
      </c>
      <c r="G19" s="11">
        <f>E19/C19</f>
        <v>1.117788892155828E-2</v>
      </c>
      <c r="H19" t="s">
        <v>60</v>
      </c>
      <c r="I19" t="s">
        <v>61</v>
      </c>
    </row>
    <row r="20" spans="1:9">
      <c r="A20" s="7" t="s">
        <v>62</v>
      </c>
      <c r="B20" s="5">
        <f>(65803607+1079558+184110)*1000</f>
        <v>67067275000</v>
      </c>
      <c r="C20" s="5">
        <f>(50516077+2449258+2677055+281635+140081+164027)*1000</f>
        <v>56228133000</v>
      </c>
      <c r="D20" s="5">
        <f>702*1000</f>
        <v>702000</v>
      </c>
      <c r="E20">
        <v>0</v>
      </c>
      <c r="F20" s="12">
        <f>D20/B20</f>
        <v>1.0467101876436757E-5</v>
      </c>
      <c r="G20" s="11">
        <f>E20/C20</f>
        <v>0</v>
      </c>
      <c r="H20" t="s">
        <v>63</v>
      </c>
      <c r="I20" t="s">
        <v>64</v>
      </c>
    </row>
    <row r="26" spans="1:9">
      <c r="A26" s="13" t="s">
        <v>65</v>
      </c>
      <c r="B26" s="27" t="s">
        <v>66</v>
      </c>
    </row>
    <row r="27" spans="1:9">
      <c r="A27" s="14" t="s">
        <v>23</v>
      </c>
      <c r="B27" s="15" t="s">
        <v>67</v>
      </c>
    </row>
    <row r="28" spans="1:9">
      <c r="A28" s="16" t="s">
        <v>68</v>
      </c>
      <c r="B28" s="16" t="s">
        <v>69</v>
      </c>
      <c r="C28" s="16" t="s">
        <v>70</v>
      </c>
    </row>
    <row r="29" spans="1:9">
      <c r="A29" s="17" t="s">
        <v>71</v>
      </c>
      <c r="B29" s="18">
        <v>346608497</v>
      </c>
      <c r="C29" s="19">
        <f>B29/B$31</f>
        <v>0.70903239260883477</v>
      </c>
    </row>
    <row r="30" spans="1:9">
      <c r="A30" s="20" t="s">
        <v>72</v>
      </c>
      <c r="B30" s="18">
        <v>142238699</v>
      </c>
      <c r="C30" s="19">
        <f>B30/B$31</f>
        <v>0.29096760739116523</v>
      </c>
    </row>
    <row r="31" spans="1:9">
      <c r="A31" s="20" t="s">
        <v>73</v>
      </c>
      <c r="B31" s="18">
        <f>SUM(B29:B30)</f>
        <v>488847196</v>
      </c>
      <c r="C31" s="19">
        <f>B31/B$31</f>
        <v>1</v>
      </c>
    </row>
    <row r="32" spans="1:9">
      <c r="A32" s="14" t="s">
        <v>26</v>
      </c>
      <c r="B32" s="15" t="s">
        <v>74</v>
      </c>
    </row>
    <row r="33" spans="1:3">
      <c r="A33" s="16" t="s">
        <v>68</v>
      </c>
      <c r="B33" s="16" t="s">
        <v>75</v>
      </c>
      <c r="C33" s="16" t="s">
        <v>70</v>
      </c>
    </row>
    <row r="34" spans="1:3">
      <c r="A34" s="17" t="s">
        <v>76</v>
      </c>
      <c r="B34" s="18">
        <v>37954848</v>
      </c>
      <c r="C34" s="19">
        <f>B34/B$37</f>
        <v>0.82232256237039913</v>
      </c>
    </row>
    <row r="35" spans="1:3">
      <c r="A35" s="20" t="s">
        <v>77</v>
      </c>
      <c r="B35" s="18">
        <v>7808713</v>
      </c>
      <c r="C35" s="19">
        <f>B35/B$37</f>
        <v>0.16918209981963428</v>
      </c>
    </row>
    <row r="36" spans="1:3">
      <c r="A36" s="20" t="s">
        <v>78</v>
      </c>
      <c r="B36" s="18">
        <v>392108</v>
      </c>
      <c r="C36" s="19">
        <f>B36/B$37</f>
        <v>8.4953378099665283E-3</v>
      </c>
    </row>
    <row r="37" spans="1:3">
      <c r="A37" s="20" t="s">
        <v>73</v>
      </c>
      <c r="B37" s="21">
        <f>SUM(B34:B36)</f>
        <v>46155669</v>
      </c>
      <c r="C37" s="19">
        <f>B37/B$37</f>
        <v>1</v>
      </c>
    </row>
    <row r="38" spans="1:3">
      <c r="A38" s="14" t="s">
        <v>35</v>
      </c>
      <c r="B38" s="15" t="s">
        <v>79</v>
      </c>
    </row>
    <row r="39" spans="1:3">
      <c r="A39" s="16" t="s">
        <v>68</v>
      </c>
      <c r="B39" s="16" t="s">
        <v>69</v>
      </c>
      <c r="C39" s="16" t="s">
        <v>70</v>
      </c>
    </row>
    <row r="40" spans="1:3">
      <c r="A40" s="17" t="s">
        <v>76</v>
      </c>
      <c r="B40" s="18">
        <v>1287415090575</v>
      </c>
      <c r="C40" s="19">
        <f>B40/B$43</f>
        <v>0.91503541379684539</v>
      </c>
    </row>
    <row r="41" spans="1:3">
      <c r="A41" s="20" t="s">
        <v>80</v>
      </c>
      <c r="B41" s="18">
        <v>4177468007</v>
      </c>
      <c r="C41" s="19">
        <f>B41/B$43</f>
        <v>2.9691520585649386E-3</v>
      </c>
    </row>
    <row r="42" spans="1:3">
      <c r="A42" s="20" t="s">
        <v>78</v>
      </c>
      <c r="B42" s="18">
        <v>115364015080</v>
      </c>
      <c r="C42" s="19">
        <f>B42/B$43</f>
        <v>8.1995434144589638E-2</v>
      </c>
    </row>
    <row r="43" spans="1:3">
      <c r="A43" s="20" t="s">
        <v>73</v>
      </c>
      <c r="B43" s="21">
        <f>SUM(B40:B42)</f>
        <v>1406956573662</v>
      </c>
      <c r="C43" s="19">
        <f>B43/B$43</f>
        <v>1</v>
      </c>
    </row>
    <row r="44" spans="1:3">
      <c r="A44" s="14" t="s">
        <v>38</v>
      </c>
      <c r="B44" s="15" t="s">
        <v>81</v>
      </c>
    </row>
    <row r="45" spans="1:3">
      <c r="A45" s="16" t="s">
        <v>68</v>
      </c>
      <c r="B45" s="16" t="s">
        <v>69</v>
      </c>
      <c r="C45" s="16" t="s">
        <v>70</v>
      </c>
    </row>
    <row r="46" spans="1:3">
      <c r="A46" s="17" t="s">
        <v>82</v>
      </c>
      <c r="B46" s="18">
        <v>164288441</v>
      </c>
      <c r="C46" s="19">
        <f>B46/B$49</f>
        <v>0.30044099776844413</v>
      </c>
    </row>
    <row r="47" spans="1:3">
      <c r="A47" s="20" t="s">
        <v>83</v>
      </c>
      <c r="B47" s="18">
        <v>381991801</v>
      </c>
      <c r="C47" s="19">
        <f>B47/B$49</f>
        <v>0.69856404463540411</v>
      </c>
    </row>
    <row r="48" spans="1:3">
      <c r="A48" s="20" t="s">
        <v>84</v>
      </c>
      <c r="B48" s="18">
        <v>544067</v>
      </c>
      <c r="C48" s="19">
        <f>B48/B$49</f>
        <v>9.9495759615178341E-4</v>
      </c>
    </row>
    <row r="49" spans="1:3">
      <c r="A49" s="20" t="s">
        <v>73</v>
      </c>
      <c r="B49" s="21">
        <f>SUM(B46:B48)</f>
        <v>546824309</v>
      </c>
      <c r="C49" s="19">
        <f>B49/B$49</f>
        <v>1</v>
      </c>
    </row>
    <row r="50" spans="1:3">
      <c r="A50" s="14" t="s">
        <v>44</v>
      </c>
      <c r="B50" s="15" t="s">
        <v>85</v>
      </c>
    </row>
    <row r="51" spans="1:3">
      <c r="A51" s="16" t="s">
        <v>68</v>
      </c>
      <c r="B51" s="16" t="s">
        <v>86</v>
      </c>
      <c r="C51" s="16" t="s">
        <v>70</v>
      </c>
    </row>
    <row r="52" spans="1:3">
      <c r="A52" s="17" t="s">
        <v>87</v>
      </c>
      <c r="B52" s="18">
        <v>206677</v>
      </c>
      <c r="C52" s="19">
        <f>B52/B$54</f>
        <v>0.99938105945214095</v>
      </c>
    </row>
    <row r="53" spans="1:3">
      <c r="A53" s="20" t="s">
        <v>78</v>
      </c>
      <c r="B53" s="18">
        <v>128</v>
      </c>
      <c r="C53" s="19">
        <f>B53/B$54</f>
        <v>6.1894054785909436E-4</v>
      </c>
    </row>
    <row r="54" spans="1:3">
      <c r="A54" s="20" t="s">
        <v>73</v>
      </c>
      <c r="B54" s="18">
        <f>SUM(B52:B53)</f>
        <v>206805</v>
      </c>
      <c r="C54" s="19">
        <f>B54/B$54</f>
        <v>1</v>
      </c>
    </row>
    <row r="55" spans="1:3">
      <c r="A55" s="14" t="s">
        <v>56</v>
      </c>
      <c r="B55" s="15" t="s">
        <v>88</v>
      </c>
    </row>
    <row r="56" spans="1:3">
      <c r="A56" s="16" t="s">
        <v>68</v>
      </c>
      <c r="B56" s="16" t="s">
        <v>69</v>
      </c>
      <c r="C56" s="16" t="s">
        <v>70</v>
      </c>
    </row>
    <row r="57" spans="1:3">
      <c r="A57" s="17" t="s">
        <v>89</v>
      </c>
      <c r="B57" s="18">
        <v>292003533</v>
      </c>
      <c r="C57" s="19">
        <f>B57/B$59</f>
        <v>0.88310232573373504</v>
      </c>
    </row>
    <row r="58" spans="1:3">
      <c r="A58" s="20" t="s">
        <v>90</v>
      </c>
      <c r="B58" s="18">
        <v>38652977</v>
      </c>
      <c r="C58" s="19">
        <f>B58/B$59</f>
        <v>0.11689767426626502</v>
      </c>
    </row>
    <row r="59" spans="1:3">
      <c r="A59" s="20" t="s">
        <v>73</v>
      </c>
      <c r="B59" s="18">
        <f>SUM(B57:B58)</f>
        <v>330656510</v>
      </c>
      <c r="C59" s="19">
        <f>B59/B$59</f>
        <v>1</v>
      </c>
    </row>
    <row r="60" spans="1:3">
      <c r="A60" s="14" t="s">
        <v>91</v>
      </c>
      <c r="B60" s="15" t="s">
        <v>92</v>
      </c>
    </row>
    <row r="61" spans="1:3">
      <c r="A61" s="16" t="s">
        <v>68</v>
      </c>
      <c r="B61" s="16" t="s">
        <v>75</v>
      </c>
      <c r="C61" s="16" t="s">
        <v>70</v>
      </c>
    </row>
    <row r="62" spans="1:3">
      <c r="A62" s="17" t="s">
        <v>76</v>
      </c>
      <c r="B62" s="18">
        <v>17644464</v>
      </c>
      <c r="C62" s="19">
        <f>B62/B$64</f>
        <v>0.9964126361271175</v>
      </c>
    </row>
    <row r="63" spans="1:3">
      <c r="A63" s="20" t="s">
        <v>93</v>
      </c>
      <c r="B63" s="18">
        <v>63525</v>
      </c>
      <c r="C63" s="19">
        <f>B63/B$64</f>
        <v>3.58736387288246E-3</v>
      </c>
    </row>
    <row r="64" spans="1:3">
      <c r="A64" s="20" t="s">
        <v>73</v>
      </c>
      <c r="B64" s="18">
        <f>SUM(B62:B63)</f>
        <v>17707989</v>
      </c>
      <c r="C64" s="19">
        <f>B64/B$64</f>
        <v>1</v>
      </c>
    </row>
    <row r="65" spans="1:3">
      <c r="A65" s="14" t="s">
        <v>62</v>
      </c>
      <c r="B65" s="15" t="s">
        <v>94</v>
      </c>
    </row>
    <row r="66" spans="1:3">
      <c r="A66" s="16" t="s">
        <v>68</v>
      </c>
      <c r="B66" s="16" t="s">
        <v>75</v>
      </c>
      <c r="C66" s="16" t="s">
        <v>70</v>
      </c>
    </row>
    <row r="67" spans="1:3">
      <c r="A67" s="17" t="s">
        <v>76</v>
      </c>
      <c r="B67" s="18">
        <v>65497076</v>
      </c>
      <c r="C67" s="19">
        <f>B67/B$69</f>
        <v>0.99534172951947752</v>
      </c>
    </row>
    <row r="68" spans="1:3">
      <c r="A68" s="20" t="s">
        <v>95</v>
      </c>
      <c r="B68" s="18">
        <v>306531</v>
      </c>
      <c r="C68" s="19">
        <f>B68/B$69</f>
        <v>4.658270480522443E-3</v>
      </c>
    </row>
    <row r="69" spans="1:3">
      <c r="A69" s="20" t="s">
        <v>73</v>
      </c>
      <c r="B69" s="18">
        <f>SUM(B67:B68)</f>
        <v>65803607</v>
      </c>
      <c r="C69" s="19">
        <f>B69/B$69</f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5103C9BBDB634482DCD1199C3F4E83" ma:contentTypeVersion="18" ma:contentTypeDescription="Create a new document." ma:contentTypeScope="" ma:versionID="d81d97e52c89d53fe857394a4f2a4cf7">
  <xsd:schema xmlns:xsd="http://www.w3.org/2001/XMLSchema" xmlns:xs="http://www.w3.org/2001/XMLSchema" xmlns:p="http://schemas.microsoft.com/office/2006/metadata/properties" xmlns:ns2="86809b95-de4d-4dae-8c16-95756767ddea" xmlns:ns3="e96de10c-6d94-429d-a2d7-a153c87a060b" xmlns:ns4="4243d5be-521d-4052-81ca-f0f31ea6f2da" targetNamespace="http://schemas.microsoft.com/office/2006/metadata/properties" ma:root="true" ma:fieldsID="e7107be2bccc67f5958ae32fb5a422d4" ns2:_="" ns3:_="" ns4:_="">
    <xsd:import namespace="86809b95-de4d-4dae-8c16-95756767ddea"/>
    <xsd:import namespace="e96de10c-6d94-429d-a2d7-a153c87a060b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09b95-de4d-4dae-8c16-95756767d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de10c-6d94-429d-a2d7-a153c87a060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07d12a5-3380-41c7-8f36-420aca5f2ab1}" ma:internalName="TaxCatchAll" ma:showField="CatchAllData" ma:web="231a6d00-819d-4a8e-be49-ed14748ad3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809b95-de4d-4dae-8c16-95756767ddea">
      <Terms xmlns="http://schemas.microsoft.com/office/infopath/2007/PartnerControls"/>
    </lcf76f155ced4ddcb4097134ff3c332f>
    <TaxCatchAll xmlns="4243d5be-521d-4052-81ca-f0f31ea6f2da" xsi:nil="true"/>
  </documentManagement>
</p:properties>
</file>

<file path=customXml/itemProps1.xml><?xml version="1.0" encoding="utf-8"?>
<ds:datastoreItem xmlns:ds="http://schemas.openxmlformats.org/officeDocument/2006/customXml" ds:itemID="{901A2AB6-4430-485A-9BEC-EFA016B7DC9F}"/>
</file>

<file path=customXml/itemProps2.xml><?xml version="1.0" encoding="utf-8"?>
<ds:datastoreItem xmlns:ds="http://schemas.openxmlformats.org/officeDocument/2006/customXml" ds:itemID="{1134B151-59F1-46C6-8F90-8A93A83444C6}"/>
</file>

<file path=customXml/itemProps3.xml><?xml version="1.0" encoding="utf-8"?>
<ds:datastoreItem xmlns:ds="http://schemas.openxmlformats.org/officeDocument/2006/customXml" ds:itemID="{BCF8DFD3-3740-4B4A-B61B-F663D1DEC7BB}"/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KPMG_PQH</dc:creator>
  <cp:keywords/>
  <dc:description/>
  <cp:lastModifiedBy>Vuong, Nguyen Khang</cp:lastModifiedBy>
  <cp:revision/>
  <dcterms:created xsi:type="dcterms:W3CDTF">2026-03-24T06:22:05Z</dcterms:created>
  <dcterms:modified xsi:type="dcterms:W3CDTF">2026-08-04T04:12:53Z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0x010100235103C9BBDB634482DCD1199C3F4E83</vt:lpwstr>
  </property>
</Properties>
</file>